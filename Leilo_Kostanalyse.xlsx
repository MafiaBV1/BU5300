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leev\Desktop\skole\4.Semester\IT_ledese\"/>
    </mc:Choice>
  </mc:AlternateContent>
  <xr:revisionPtr revIDLastSave="0" documentId="13_ncr:1_{5DC61D02-02CC-4820-9F52-A5F17914DE47}" xr6:coauthVersionLast="47" xr6:coauthVersionMax="47" xr10:uidLastSave="{00000000-0000-0000-0000-000000000000}"/>
  <bookViews>
    <workbookView xWindow="1800" yWindow="432" windowWidth="19956" windowHeight="11076" xr2:uid="{00000000-000D-0000-FFFF-FFFF00000000}"/>
  </bookViews>
  <sheets>
    <sheet name="Kostanaly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1" l="1"/>
  <c r="F67" i="1"/>
  <c r="C67" i="1"/>
  <c r="C66" i="1"/>
  <c r="B67" i="1"/>
  <c r="B27" i="1"/>
  <c r="B11" i="1"/>
  <c r="B18" i="1"/>
  <c r="B23" i="1"/>
  <c r="B7" i="1"/>
  <c r="F64" i="1"/>
  <c r="E64" i="1"/>
  <c r="D64" i="1"/>
  <c r="C64" i="1"/>
  <c r="B64" i="1"/>
  <c r="E27" i="1"/>
  <c r="D27" i="1"/>
  <c r="C27" i="1"/>
  <c r="F66" i="1" l="1"/>
  <c r="E66" i="1"/>
  <c r="D66" i="1"/>
  <c r="D67" i="1" l="1"/>
  <c r="E67" i="1" s="1"/>
</calcChain>
</file>

<file path=xl/sharedStrings.xml><?xml version="1.0" encoding="utf-8"?>
<sst xmlns="http://schemas.openxmlformats.org/spreadsheetml/2006/main" count="81" uniqueCount="81">
  <si>
    <t>Leilo - Kostnadsanalyse</t>
  </si>
  <si>
    <t>App for privat vurdering av utleieboliger</t>
  </si>
  <si>
    <t>Femårsperspektiv med 1 million kr startsum</t>
  </si>
  <si>
    <t>Kategori</t>
  </si>
  <si>
    <t>År 1</t>
  </si>
  <si>
    <t>År 2</t>
  </si>
  <si>
    <t>År 3</t>
  </si>
  <si>
    <t>År 4</t>
  </si>
  <si>
    <t>År 5</t>
  </si>
  <si>
    <t>ENGANGSKOSTNADER</t>
  </si>
  <si>
    <t>Etablering</t>
  </si>
  <si>
    <t xml:space="preserve">  - Etablering AS (inkl. aksjekapital)</t>
  </si>
  <si>
    <t xml:space="preserve">  - Brukervilkår og tjenestevilkår</t>
  </si>
  <si>
    <t xml:space="preserve">  - Personvernerklæring og DPIA</t>
  </si>
  <si>
    <t>Hardware</t>
  </si>
  <si>
    <t xml:space="preserve">  - Bærbare PCer (4 stk)</t>
  </si>
  <si>
    <t xml:space="preserve">  - Skjermer (4 stk)</t>
  </si>
  <si>
    <t xml:space="preserve">  - Docking stasjoner (4 stk)</t>
  </si>
  <si>
    <t xml:space="preserve">  - Mus og tastatur (4 sett)</t>
  </si>
  <si>
    <t xml:space="preserve">  - Headset (4 stk)</t>
  </si>
  <si>
    <t xml:space="preserve">  - Nettverksutstyr</t>
  </si>
  <si>
    <t>Utvikling (engangsinnsats)</t>
  </si>
  <si>
    <t xml:space="preserve">  - App-design og UX/UI</t>
  </si>
  <si>
    <t xml:space="preserve">  - Logo og visuell identitet</t>
  </si>
  <si>
    <t xml:space="preserve">  - Forklaringsvideo produksjon</t>
  </si>
  <si>
    <t xml:space="preserve">  - Penetrasjonstesting (initial)</t>
  </si>
  <si>
    <t>Markedsføring (engangs)</t>
  </si>
  <si>
    <t xml:space="preserve">  - Pressemelding og mediekit</t>
  </si>
  <si>
    <t xml:space="preserve">  - Markedsføringsmateriell</t>
  </si>
  <si>
    <t xml:space="preserve">  - Lanserings-event</t>
  </si>
  <si>
    <t>Sum engangskostnader</t>
  </si>
  <si>
    <t>LØPENDE KOSTNADER (ÅRLIGE)</t>
  </si>
  <si>
    <t>Infrastruktur (Cloud)</t>
  </si>
  <si>
    <t xml:space="preserve">  - Azure App Service</t>
  </si>
  <si>
    <t xml:space="preserve">  - Azure SQL Database</t>
  </si>
  <si>
    <t xml:space="preserve">  - Backup &amp; disaster recovery</t>
  </si>
  <si>
    <t>Lisenser - Programvare</t>
  </si>
  <si>
    <t xml:space="preserve">  - Figma Professional</t>
  </si>
  <si>
    <t xml:space="preserve">  - Azure DevOps</t>
  </si>
  <si>
    <t>Lisenser - Tredjepart</t>
  </si>
  <si>
    <t xml:space="preserve">  - SMS-verifisering</t>
  </si>
  <si>
    <t xml:space="preserve">  - E-posttjeneste</t>
  </si>
  <si>
    <t xml:space="preserve">  - Analytics</t>
  </si>
  <si>
    <t>Juridisk &amp; Compliance</t>
  </si>
  <si>
    <t xml:space="preserve">  - Løpende juridisk rådgivning</t>
  </si>
  <si>
    <t xml:space="preserve">  - GDPR compliance verktøy</t>
  </si>
  <si>
    <t xml:space="preserve">  - Penetrasjonstesting (årlig)</t>
  </si>
  <si>
    <t xml:space="preserve">  - Ansvarsforsikring</t>
  </si>
  <si>
    <t xml:space="preserve">  - Cyberforsikring</t>
  </si>
  <si>
    <t>Markedsføring</t>
  </si>
  <si>
    <t xml:space="preserve">  - Digital annonsering</t>
  </si>
  <si>
    <t xml:space="preserve">  - Influencer-samarbeid</t>
  </si>
  <si>
    <t xml:space="preserve">  - Content creator</t>
  </si>
  <si>
    <t xml:space="preserve">  - PR-byrå</t>
  </si>
  <si>
    <t xml:space="preserve">  - Events og messer</t>
  </si>
  <si>
    <t>Drift</t>
  </si>
  <si>
    <t xml:space="preserve">  - Moderasjonsverktøy</t>
  </si>
  <si>
    <t xml:space="preserve">  - Kundeservice (deltid)</t>
  </si>
  <si>
    <t xml:space="preserve">  - Regnskapstjenester</t>
  </si>
  <si>
    <t xml:space="preserve">  - Diverse operasjonelt</t>
  </si>
  <si>
    <t>Personalkostnader</t>
  </si>
  <si>
    <t xml:space="preserve">  - Lønn gründere/utviklere</t>
  </si>
  <si>
    <t xml:space="preserve">  - Arbeidsgiveravgift (14,1%)</t>
  </si>
  <si>
    <t>Sum løpende kostnader</t>
  </si>
  <si>
    <t>TOTALT PER ÅR</t>
  </si>
  <si>
    <t>Kumulativ kostnad</t>
  </si>
  <si>
    <t>FORUTSETNINGER OG NOTATER</t>
  </si>
  <si>
    <t>År 2: Ansettelse av 2 heltidsutviklere. Nasjonal ekspansjon. Mål: 25,000 brukere</t>
  </si>
  <si>
    <t>År 3: Team på 6 personer. Nordisk ekspansjon. Mål: 100,000 brukere</t>
  </si>
  <si>
    <t>År 4-5: Fortsatt vekst og skalering i nordiske markeder</t>
  </si>
  <si>
    <t>Kostnadsoptimalisering:</t>
  </si>
  <si>
    <t xml:space="preserve">  - Azure Reserved Instances kan spare 30-40% fra år 2</t>
  </si>
  <si>
    <t xml:space="preserve">  - Automatisert moderering reduserer manuelle kostnader over tid</t>
  </si>
  <si>
    <t>Fargeforklaring:</t>
  </si>
  <si>
    <t xml:space="preserve">  Blå tekst = Hardkodede verdier (input)</t>
  </si>
  <si>
    <t xml:space="preserve">  Svart tekst = Formler og beregninger</t>
  </si>
  <si>
    <t xml:space="preserve">  - JetBrains lisenser (6)</t>
  </si>
  <si>
    <t xml:space="preserve">  - Microsoft 365 Business (6)</t>
  </si>
  <si>
    <t xml:space="preserve">  - Kontor</t>
  </si>
  <si>
    <t>År 1: MVP-utvikling og lansering i Oslo/Bergen. 6 gründere arbeider som studentbedrift. Mål: 5,000 brukere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</si>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</sst>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k\r"/>
  </numFmts>
  <fonts count="11" x14ac:knownFonts="1">
    <font>
      <sz val="11"/>
      <color theme="1"/>
      <name val="Calibri"/>
      <family val="2"/>
      <scheme val="minor"/>
    </font>
    <font>
      <b/>
      <sz val="16"/>
      <name val="Arial"/>
    </font>
    <font>
      <i/>
      <sz val="11"/>
      <name val="Arial"/>
    </font>
    <font>
      <i/>
      <sz val="10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b/>
      <sz val="11"/>
      <name val="Arial"/>
    </font>
    <font>
      <sz val="10"/>
      <color rgb="FF000000"/>
      <name val="Arial"/>
    </font>
    <font>
      <sz val="9"/>
      <name val="Arial"/>
    </font>
    <font>
      <sz val="10"/>
      <color rgb="FF0000FF"/>
      <name val="Arial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164" fontId="7" fillId="0" borderId="0" xfId="0" applyNumberFormat="1" applyFont="1" applyAlignment="1">
      <alignment horizontal="right"/>
    </xf>
    <xf numFmtId="0" fontId="8" fillId="0" borderId="0" xfId="0" applyFont="1"/>
    <xf numFmtId="164" fontId="9" fillId="0" borderId="0" xfId="0" applyNumberFormat="1" applyFont="1" applyAlignment="1">
      <alignment horizontal="right"/>
    </xf>
    <xf numFmtId="0" fontId="6" fillId="4" borderId="0" xfId="0" applyFont="1" applyFill="1"/>
    <xf numFmtId="164" fontId="6" fillId="4" borderId="0" xfId="0" applyNumberFormat="1" applyFont="1" applyFill="1" applyAlignment="1">
      <alignment horizontal="right"/>
    </xf>
    <xf numFmtId="0" fontId="5" fillId="5" borderId="0" xfId="0" applyFont="1" applyFill="1"/>
    <xf numFmtId="0" fontId="6" fillId="6" borderId="0" xfId="0" applyFont="1" applyFill="1"/>
    <xf numFmtId="164" fontId="6" fillId="6" borderId="0" xfId="0" applyNumberFormat="1" applyFont="1" applyFill="1" applyAlignment="1">
      <alignment horizontal="right"/>
    </xf>
    <xf numFmtId="0" fontId="4" fillId="7" borderId="0" xfId="0" applyFont="1" applyFill="1"/>
    <xf numFmtId="164" fontId="4" fillId="7" borderId="0" xfId="0" applyNumberFormat="1" applyFont="1" applyFill="1" applyAlignment="1">
      <alignment horizontal="right"/>
    </xf>
    <xf numFmtId="0" fontId="6" fillId="8" borderId="0" xfId="0" applyFont="1" applyFill="1"/>
    <xf numFmtId="164" fontId="6" fillId="8" borderId="0" xfId="0" applyNumberFormat="1" applyFont="1" applyFill="1" applyAlignment="1">
      <alignment horizontal="right"/>
    </xf>
    <xf numFmtId="164" fontId="0" fillId="0" borderId="0" xfId="0" applyNumberFormat="1"/>
    <xf numFmtId="9" fontId="0" fillId="0" borderId="0" xfId="1" applyFont="1"/>
    <xf numFmtId="0" fontId="5" fillId="3" borderId="0" xfId="0" applyFont="1" applyFill="1"/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zoomScale="69" zoomScaleNormal="69" workbookViewId="0">
      <selection activeCell="F17" sqref="F17"/>
    </sheetView>
  </sheetViews>
  <sheetFormatPr defaultRowHeight="14.4" x14ac:dyDescent="0.3"/>
  <cols>
    <col min="1" max="1" width="87.33203125" bestFit="1" customWidth="1"/>
    <col min="2" max="3" width="17.109375" bestFit="1" customWidth="1"/>
    <col min="4" max="6" width="17.5546875" bestFit="1" customWidth="1"/>
    <col min="8" max="8" width="10.44140625" bestFit="1" customWidth="1"/>
    <col min="9" max="9" width="9.44140625" bestFit="1" customWidth="1"/>
  </cols>
  <sheetData>
    <row r="1" spans="1:9" ht="21" x14ac:dyDescent="0.4">
      <c r="A1" s="1" t="s">
        <v>0</v>
      </c>
    </row>
    <row r="2" spans="1:9" x14ac:dyDescent="0.3">
      <c r="A2" s="2" t="s">
        <v>1</v>
      </c>
    </row>
    <row r="3" spans="1:9" x14ac:dyDescent="0.3">
      <c r="A3" s="3" t="s">
        <v>2</v>
      </c>
    </row>
    <row r="5" spans="1:9" ht="15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9" x14ac:dyDescent="0.3">
      <c r="A6" s="20" t="s">
        <v>9</v>
      </c>
      <c r="B6" s="21"/>
      <c r="C6" s="21"/>
      <c r="D6" s="21"/>
      <c r="E6" s="21"/>
      <c r="F6" s="21"/>
    </row>
    <row r="7" spans="1:9" x14ac:dyDescent="0.3">
      <c r="A7" s="5" t="s">
        <v>10</v>
      </c>
      <c r="B7" s="6">
        <f>B8+B9+B10</f>
        <v>80000</v>
      </c>
      <c r="C7" s="6">
        <v>0</v>
      </c>
      <c r="D7" s="6">
        <v>0</v>
      </c>
      <c r="E7" s="6">
        <v>0</v>
      </c>
      <c r="F7" s="6">
        <v>0</v>
      </c>
      <c r="I7" s="18"/>
    </row>
    <row r="8" spans="1:9" x14ac:dyDescent="0.3">
      <c r="A8" s="7" t="s">
        <v>11</v>
      </c>
      <c r="B8" s="8">
        <v>30000</v>
      </c>
      <c r="C8" s="8">
        <v>0</v>
      </c>
      <c r="D8" s="8">
        <v>0</v>
      </c>
      <c r="E8" s="8">
        <v>0</v>
      </c>
      <c r="F8" s="8">
        <v>0</v>
      </c>
    </row>
    <row r="9" spans="1:9" x14ac:dyDescent="0.3">
      <c r="A9" s="7" t="s">
        <v>12</v>
      </c>
      <c r="B9" s="8">
        <v>15000</v>
      </c>
      <c r="C9" s="8">
        <v>0</v>
      </c>
      <c r="D9" s="8">
        <v>0</v>
      </c>
      <c r="E9" s="8">
        <v>0</v>
      </c>
      <c r="F9" s="8">
        <v>0</v>
      </c>
    </row>
    <row r="10" spans="1:9" x14ac:dyDescent="0.3">
      <c r="A10" s="7" t="s">
        <v>13</v>
      </c>
      <c r="B10" s="8">
        <v>35000</v>
      </c>
      <c r="C10" s="8">
        <v>0</v>
      </c>
      <c r="D10" s="8">
        <v>0</v>
      </c>
      <c r="E10" s="8">
        <v>0</v>
      </c>
      <c r="F10" s="8">
        <v>0</v>
      </c>
    </row>
    <row r="11" spans="1:9" x14ac:dyDescent="0.3">
      <c r="A11" s="5" t="s">
        <v>14</v>
      </c>
      <c r="B11" s="6">
        <f>B12+B13+B14+B15+B16+B17</f>
        <v>82400</v>
      </c>
      <c r="C11" s="6">
        <v>0</v>
      </c>
      <c r="D11" s="6">
        <v>0</v>
      </c>
      <c r="E11" s="6">
        <v>0</v>
      </c>
      <c r="F11" s="6">
        <v>0</v>
      </c>
    </row>
    <row r="12" spans="1:9" x14ac:dyDescent="0.3">
      <c r="A12" s="7" t="s">
        <v>15</v>
      </c>
      <c r="B12" s="8">
        <v>48000</v>
      </c>
      <c r="C12" s="8">
        <v>0</v>
      </c>
      <c r="D12" s="8">
        <v>0</v>
      </c>
      <c r="E12" s="8">
        <v>0</v>
      </c>
      <c r="F12" s="8">
        <v>0</v>
      </c>
    </row>
    <row r="13" spans="1:9" x14ac:dyDescent="0.3">
      <c r="A13" s="7" t="s">
        <v>16</v>
      </c>
      <c r="B13" s="8">
        <v>10000</v>
      </c>
      <c r="C13" s="8">
        <v>0</v>
      </c>
      <c r="D13" s="8">
        <v>0</v>
      </c>
      <c r="E13" s="8">
        <v>0</v>
      </c>
      <c r="F13" s="8">
        <v>0</v>
      </c>
    </row>
    <row r="14" spans="1:9" x14ac:dyDescent="0.3">
      <c r="A14" s="7" t="s">
        <v>17</v>
      </c>
      <c r="B14" s="8">
        <v>6000</v>
      </c>
      <c r="C14" s="8">
        <v>0</v>
      </c>
      <c r="D14" s="8">
        <v>0</v>
      </c>
      <c r="E14" s="8">
        <v>0</v>
      </c>
      <c r="F14" s="8">
        <v>0</v>
      </c>
    </row>
    <row r="15" spans="1:9" x14ac:dyDescent="0.3">
      <c r="A15" s="7" t="s">
        <v>18</v>
      </c>
      <c r="B15" s="8">
        <v>3200</v>
      </c>
      <c r="C15" s="8">
        <v>0</v>
      </c>
      <c r="D15" s="8">
        <v>0</v>
      </c>
      <c r="E15" s="8">
        <v>0</v>
      </c>
      <c r="F15" s="8">
        <v>0</v>
      </c>
    </row>
    <row r="16" spans="1:9" x14ac:dyDescent="0.3">
      <c r="A16" s="7" t="s">
        <v>19</v>
      </c>
      <c r="B16" s="8">
        <v>3200</v>
      </c>
      <c r="C16" s="8">
        <v>0</v>
      </c>
      <c r="D16" s="8">
        <v>0</v>
      </c>
      <c r="E16" s="8">
        <v>0</v>
      </c>
      <c r="F16" s="8">
        <v>0</v>
      </c>
    </row>
    <row r="17" spans="1:6" x14ac:dyDescent="0.3">
      <c r="A17" s="7" t="s">
        <v>20</v>
      </c>
      <c r="B17" s="8">
        <v>12000</v>
      </c>
      <c r="C17" s="8">
        <v>0</v>
      </c>
      <c r="D17" s="8">
        <v>0</v>
      </c>
      <c r="E17" s="8">
        <v>0</v>
      </c>
      <c r="F17" s="8">
        <v>0</v>
      </c>
    </row>
    <row r="18" spans="1:6" x14ac:dyDescent="0.3">
      <c r="A18" s="5" t="s">
        <v>21</v>
      </c>
      <c r="B18" s="6">
        <f>B19+B20+B21+B22</f>
        <v>110000</v>
      </c>
      <c r="C18" s="6">
        <v>0</v>
      </c>
      <c r="D18" s="6">
        <v>0</v>
      </c>
      <c r="E18" s="6">
        <v>0</v>
      </c>
      <c r="F18" s="6">
        <v>0</v>
      </c>
    </row>
    <row r="19" spans="1:6" x14ac:dyDescent="0.3">
      <c r="A19" s="7" t="s">
        <v>22</v>
      </c>
      <c r="B19" s="8">
        <v>40000</v>
      </c>
      <c r="C19" s="8">
        <v>0</v>
      </c>
      <c r="D19" s="8">
        <v>0</v>
      </c>
      <c r="E19" s="8">
        <v>0</v>
      </c>
      <c r="F19" s="8">
        <v>0</v>
      </c>
    </row>
    <row r="20" spans="1:6" x14ac:dyDescent="0.3">
      <c r="A20" s="7" t="s">
        <v>23</v>
      </c>
      <c r="B20" s="8">
        <v>25000</v>
      </c>
      <c r="C20" s="8">
        <v>0</v>
      </c>
      <c r="D20" s="8">
        <v>0</v>
      </c>
      <c r="E20" s="8">
        <v>0</v>
      </c>
      <c r="F20" s="8">
        <v>0</v>
      </c>
    </row>
    <row r="21" spans="1:6" x14ac:dyDescent="0.3">
      <c r="A21" s="7" t="s">
        <v>24</v>
      </c>
      <c r="B21" s="8">
        <v>30000</v>
      </c>
      <c r="C21" s="8">
        <v>0</v>
      </c>
      <c r="D21" s="8">
        <v>0</v>
      </c>
      <c r="E21" s="8">
        <v>0</v>
      </c>
      <c r="F21" s="8">
        <v>0</v>
      </c>
    </row>
    <row r="22" spans="1:6" x14ac:dyDescent="0.3">
      <c r="A22" s="7" t="s">
        <v>25</v>
      </c>
      <c r="B22" s="8">
        <v>15000</v>
      </c>
      <c r="C22" s="8">
        <v>0</v>
      </c>
      <c r="D22" s="8">
        <v>0</v>
      </c>
      <c r="E22" s="8">
        <v>0</v>
      </c>
      <c r="F22" s="8">
        <v>0</v>
      </c>
    </row>
    <row r="23" spans="1:6" x14ac:dyDescent="0.3">
      <c r="A23" s="5" t="s">
        <v>26</v>
      </c>
      <c r="B23" s="6">
        <f>B24+B25+B26</f>
        <v>45000</v>
      </c>
      <c r="C23" s="6">
        <v>0</v>
      </c>
      <c r="D23" s="6">
        <v>0</v>
      </c>
      <c r="E23" s="6">
        <v>0</v>
      </c>
      <c r="F23" s="6">
        <v>0</v>
      </c>
    </row>
    <row r="24" spans="1:6" x14ac:dyDescent="0.3">
      <c r="A24" s="7" t="s">
        <v>27</v>
      </c>
      <c r="B24" s="8">
        <v>10000</v>
      </c>
      <c r="C24" s="8">
        <v>0</v>
      </c>
      <c r="D24" s="8">
        <v>0</v>
      </c>
      <c r="E24" s="8">
        <v>0</v>
      </c>
      <c r="F24" s="8">
        <v>0</v>
      </c>
    </row>
    <row r="25" spans="1:6" x14ac:dyDescent="0.3">
      <c r="A25" s="7" t="s">
        <v>28</v>
      </c>
      <c r="B25" s="8">
        <v>15000</v>
      </c>
      <c r="C25" s="8">
        <v>0</v>
      </c>
      <c r="D25" s="8">
        <v>0</v>
      </c>
      <c r="E25" s="8">
        <v>0</v>
      </c>
      <c r="F25" s="8">
        <v>0</v>
      </c>
    </row>
    <row r="26" spans="1:6" x14ac:dyDescent="0.3">
      <c r="A26" s="7" t="s">
        <v>29</v>
      </c>
      <c r="B26" s="8">
        <v>20000</v>
      </c>
      <c r="C26" s="8">
        <v>0</v>
      </c>
      <c r="D26" s="8">
        <v>0</v>
      </c>
      <c r="E26" s="8">
        <v>0</v>
      </c>
      <c r="F26" s="8">
        <v>0</v>
      </c>
    </row>
    <row r="27" spans="1:6" x14ac:dyDescent="0.3">
      <c r="A27" s="9" t="s">
        <v>30</v>
      </c>
      <c r="B27" s="10">
        <f>B7+B11+B18+B23</f>
        <v>317400</v>
      </c>
      <c r="C27" s="10">
        <f>SUM(C7:C26)</f>
        <v>0</v>
      </c>
      <c r="D27" s="10">
        <f>SUM(D7:D26)</f>
        <v>0</v>
      </c>
      <c r="E27" s="10">
        <f>SUM(E7:E26)</f>
        <v>0</v>
      </c>
      <c r="F27" s="10">
        <v>0</v>
      </c>
    </row>
    <row r="29" spans="1:6" x14ac:dyDescent="0.3">
      <c r="A29" s="11" t="s">
        <v>31</v>
      </c>
    </row>
    <row r="30" spans="1:6" x14ac:dyDescent="0.3">
      <c r="A30" s="5" t="s">
        <v>32</v>
      </c>
    </row>
    <row r="31" spans="1:6" x14ac:dyDescent="0.3">
      <c r="A31" s="7" t="s">
        <v>33</v>
      </c>
      <c r="B31" s="8">
        <v>36000</v>
      </c>
      <c r="C31" s="8">
        <v>48000</v>
      </c>
      <c r="D31" s="8">
        <v>72000</v>
      </c>
      <c r="E31" s="8">
        <v>90000</v>
      </c>
      <c r="F31" s="8">
        <v>108000</v>
      </c>
    </row>
    <row r="32" spans="1:6" x14ac:dyDescent="0.3">
      <c r="A32" s="7" t="s">
        <v>34</v>
      </c>
      <c r="B32" s="8">
        <v>30000</v>
      </c>
      <c r="C32" s="8">
        <v>45000</v>
      </c>
      <c r="D32" s="8">
        <v>60000</v>
      </c>
      <c r="E32" s="8">
        <v>75000</v>
      </c>
      <c r="F32" s="8">
        <v>90000</v>
      </c>
    </row>
    <row r="33" spans="1:6" x14ac:dyDescent="0.3">
      <c r="A33" s="7" t="s">
        <v>35</v>
      </c>
      <c r="B33" s="8">
        <v>6000</v>
      </c>
      <c r="C33" s="8">
        <v>8000</v>
      </c>
      <c r="D33" s="8">
        <v>10000</v>
      </c>
      <c r="E33" s="8">
        <v>12000</v>
      </c>
      <c r="F33" s="8">
        <v>14000</v>
      </c>
    </row>
    <row r="34" spans="1:6" x14ac:dyDescent="0.3">
      <c r="A34" s="5" t="s">
        <v>36</v>
      </c>
    </row>
    <row r="35" spans="1:6" x14ac:dyDescent="0.3">
      <c r="A35" s="7" t="s">
        <v>76</v>
      </c>
      <c r="B35" s="8">
        <v>8000</v>
      </c>
      <c r="C35" s="8">
        <v>8000</v>
      </c>
      <c r="D35" s="8">
        <v>10000</v>
      </c>
      <c r="E35" s="8">
        <v>12000</v>
      </c>
      <c r="F35" s="8">
        <v>14000</v>
      </c>
    </row>
    <row r="36" spans="1:6" x14ac:dyDescent="0.3">
      <c r="A36" s="7" t="s">
        <v>37</v>
      </c>
      <c r="B36" s="8">
        <v>15000</v>
      </c>
      <c r="C36" s="8">
        <v>15000</v>
      </c>
      <c r="D36" s="8">
        <v>20000</v>
      </c>
      <c r="E36" s="8">
        <v>25000</v>
      </c>
      <c r="F36" s="8">
        <v>30000</v>
      </c>
    </row>
    <row r="37" spans="1:6" x14ac:dyDescent="0.3">
      <c r="A37" s="7" t="s">
        <v>77</v>
      </c>
      <c r="B37" s="8">
        <v>8000</v>
      </c>
      <c r="C37" s="8">
        <v>10000</v>
      </c>
      <c r="D37" s="8">
        <v>15000</v>
      </c>
      <c r="E37" s="8">
        <v>20000</v>
      </c>
      <c r="F37" s="8">
        <v>25000</v>
      </c>
    </row>
    <row r="38" spans="1:6" x14ac:dyDescent="0.3">
      <c r="A38" s="7" t="s">
        <v>38</v>
      </c>
      <c r="B38" s="8">
        <v>6000</v>
      </c>
      <c r="C38" s="8">
        <v>8000</v>
      </c>
      <c r="D38" s="8">
        <v>10000</v>
      </c>
      <c r="E38" s="8">
        <v>12000</v>
      </c>
      <c r="F38" s="8">
        <v>14000</v>
      </c>
    </row>
    <row r="39" spans="1:6" x14ac:dyDescent="0.3">
      <c r="A39" s="5" t="s">
        <v>39</v>
      </c>
    </row>
    <row r="40" spans="1:6" x14ac:dyDescent="0.3">
      <c r="A40" s="7" t="s">
        <v>40</v>
      </c>
      <c r="B40" s="8">
        <v>10000</v>
      </c>
      <c r="C40" s="8">
        <v>25000</v>
      </c>
      <c r="D40" s="8">
        <v>50000</v>
      </c>
      <c r="E40" s="8">
        <v>75000</v>
      </c>
      <c r="F40" s="8">
        <v>100000</v>
      </c>
    </row>
    <row r="41" spans="1:6" x14ac:dyDescent="0.3">
      <c r="A41" s="7" t="s">
        <v>41</v>
      </c>
      <c r="B41" s="8">
        <v>5000</v>
      </c>
      <c r="C41" s="8">
        <v>10000</v>
      </c>
      <c r="D41" s="8">
        <v>20000</v>
      </c>
      <c r="E41" s="8">
        <v>30000</v>
      </c>
      <c r="F41" s="8">
        <v>40000</v>
      </c>
    </row>
    <row r="42" spans="1:6" x14ac:dyDescent="0.3">
      <c r="A42" s="7" t="s">
        <v>42</v>
      </c>
      <c r="B42" s="8">
        <v>8000</v>
      </c>
      <c r="C42" s="8">
        <v>15000</v>
      </c>
      <c r="D42" s="8">
        <v>30000</v>
      </c>
      <c r="E42" s="8">
        <v>45000</v>
      </c>
      <c r="F42" s="8">
        <v>60000</v>
      </c>
    </row>
    <row r="43" spans="1:6" x14ac:dyDescent="0.3">
      <c r="A43" s="5" t="s">
        <v>43</v>
      </c>
    </row>
    <row r="44" spans="1:6" x14ac:dyDescent="0.3">
      <c r="A44" s="7" t="s">
        <v>44</v>
      </c>
      <c r="B44" s="8">
        <v>30000</v>
      </c>
      <c r="C44" s="8">
        <v>40000</v>
      </c>
      <c r="D44" s="8">
        <v>50000</v>
      </c>
      <c r="E44" s="8">
        <v>60000</v>
      </c>
      <c r="F44" s="8">
        <v>70000</v>
      </c>
    </row>
    <row r="45" spans="1:6" x14ac:dyDescent="0.3">
      <c r="A45" s="7" t="s">
        <v>45</v>
      </c>
      <c r="B45" s="8">
        <v>8000</v>
      </c>
      <c r="C45" s="8">
        <v>10000</v>
      </c>
      <c r="D45" s="8">
        <v>12000</v>
      </c>
      <c r="E45" s="8">
        <v>15000</v>
      </c>
      <c r="F45" s="8">
        <v>18000</v>
      </c>
    </row>
    <row r="46" spans="1:6" x14ac:dyDescent="0.3">
      <c r="A46" s="7" t="s">
        <v>46</v>
      </c>
      <c r="B46" s="8">
        <v>15000</v>
      </c>
      <c r="C46" s="8">
        <v>20000</v>
      </c>
      <c r="D46" s="8">
        <v>25000</v>
      </c>
      <c r="E46" s="8">
        <v>30000</v>
      </c>
      <c r="F46" s="8">
        <v>35000</v>
      </c>
    </row>
    <row r="47" spans="1:6" x14ac:dyDescent="0.3">
      <c r="A47" s="7" t="s">
        <v>47</v>
      </c>
      <c r="B47" s="8">
        <v>20000</v>
      </c>
      <c r="C47" s="8">
        <v>25000</v>
      </c>
      <c r="D47" s="8">
        <v>30000</v>
      </c>
      <c r="E47" s="8">
        <v>35000</v>
      </c>
      <c r="F47" s="8">
        <v>40000</v>
      </c>
    </row>
    <row r="48" spans="1:6" x14ac:dyDescent="0.3">
      <c r="A48" s="7" t="s">
        <v>48</v>
      </c>
      <c r="B48" s="8">
        <v>10000</v>
      </c>
      <c r="C48" s="8">
        <v>12000</v>
      </c>
      <c r="D48" s="8">
        <v>15000</v>
      </c>
      <c r="E48" s="8">
        <v>18000</v>
      </c>
      <c r="F48" s="8">
        <v>21000</v>
      </c>
    </row>
    <row r="49" spans="1:8" x14ac:dyDescent="0.3">
      <c r="A49" s="5" t="s">
        <v>49</v>
      </c>
    </row>
    <row r="50" spans="1:8" x14ac:dyDescent="0.3">
      <c r="A50" s="7" t="s">
        <v>50</v>
      </c>
      <c r="B50" s="8">
        <v>260000</v>
      </c>
      <c r="C50" s="8">
        <v>400000</v>
      </c>
      <c r="D50" s="8">
        <v>600000</v>
      </c>
      <c r="E50" s="8">
        <v>800000</v>
      </c>
      <c r="F50" s="8">
        <v>1000000</v>
      </c>
    </row>
    <row r="51" spans="1:8" x14ac:dyDescent="0.3">
      <c r="A51" s="7" t="s">
        <v>51</v>
      </c>
      <c r="B51" s="8">
        <v>40000</v>
      </c>
      <c r="C51" s="8">
        <v>80000</v>
      </c>
      <c r="D51" s="8">
        <v>150000</v>
      </c>
      <c r="E51" s="8">
        <v>200000</v>
      </c>
      <c r="F51" s="8">
        <v>250000</v>
      </c>
    </row>
    <row r="52" spans="1:8" x14ac:dyDescent="0.3">
      <c r="A52" s="7" t="s">
        <v>52</v>
      </c>
      <c r="B52" s="8">
        <v>50000</v>
      </c>
      <c r="C52" s="8">
        <v>80000</v>
      </c>
      <c r="D52" s="8">
        <v>120000</v>
      </c>
      <c r="E52" s="8">
        <v>150000</v>
      </c>
      <c r="F52" s="8">
        <v>180000</v>
      </c>
    </row>
    <row r="53" spans="1:8" x14ac:dyDescent="0.3">
      <c r="A53" s="7" t="s">
        <v>53</v>
      </c>
      <c r="B53" s="8">
        <v>60000</v>
      </c>
      <c r="C53" s="8">
        <v>100000</v>
      </c>
      <c r="D53" s="8">
        <v>150000</v>
      </c>
      <c r="E53" s="8">
        <v>200000</v>
      </c>
      <c r="F53" s="8">
        <v>250000</v>
      </c>
    </row>
    <row r="54" spans="1:8" x14ac:dyDescent="0.3">
      <c r="A54" s="7" t="s">
        <v>54</v>
      </c>
      <c r="B54" s="8">
        <v>20000</v>
      </c>
      <c r="C54" s="8">
        <v>40000</v>
      </c>
      <c r="D54" s="8">
        <v>80000</v>
      </c>
      <c r="E54" s="8">
        <v>120000</v>
      </c>
      <c r="F54" s="8">
        <v>160000</v>
      </c>
    </row>
    <row r="55" spans="1:8" x14ac:dyDescent="0.3">
      <c r="A55" s="5" t="s">
        <v>55</v>
      </c>
    </row>
    <row r="56" spans="1:8" x14ac:dyDescent="0.3">
      <c r="A56" s="7" t="s">
        <v>56</v>
      </c>
      <c r="B56" s="8">
        <v>15000</v>
      </c>
      <c r="C56" s="8">
        <v>25000</v>
      </c>
      <c r="D56" s="8">
        <v>40000</v>
      </c>
      <c r="E56" s="8">
        <v>60000</v>
      </c>
      <c r="F56" s="8">
        <v>80000</v>
      </c>
    </row>
    <row r="57" spans="1:8" x14ac:dyDescent="0.3">
      <c r="A57" s="7" t="s">
        <v>57</v>
      </c>
      <c r="B57" s="8">
        <v>150000</v>
      </c>
      <c r="C57" s="8">
        <v>300000</v>
      </c>
      <c r="D57" s="8">
        <v>500000</v>
      </c>
      <c r="E57" s="8">
        <v>700000</v>
      </c>
      <c r="F57" s="8">
        <v>900000</v>
      </c>
    </row>
    <row r="58" spans="1:8" x14ac:dyDescent="0.3">
      <c r="A58" s="7" t="s">
        <v>78</v>
      </c>
      <c r="B58" s="8">
        <v>48000</v>
      </c>
      <c r="C58" s="8">
        <v>96000</v>
      </c>
      <c r="D58" s="8">
        <v>150000</v>
      </c>
      <c r="E58" s="8">
        <v>200000</v>
      </c>
      <c r="F58" s="8">
        <v>250000</v>
      </c>
    </row>
    <row r="59" spans="1:8" x14ac:dyDescent="0.3">
      <c r="A59" s="7" t="s">
        <v>58</v>
      </c>
      <c r="B59" s="8">
        <v>15000</v>
      </c>
      <c r="C59" s="8">
        <v>20000</v>
      </c>
      <c r="D59" s="8">
        <v>30000</v>
      </c>
      <c r="E59" s="8">
        <v>40000</v>
      </c>
      <c r="F59" s="8">
        <v>50000</v>
      </c>
    </row>
    <row r="60" spans="1:8" x14ac:dyDescent="0.3">
      <c r="A60" s="7" t="s">
        <v>59</v>
      </c>
      <c r="B60" s="8">
        <v>35000</v>
      </c>
      <c r="C60" s="8">
        <v>50000</v>
      </c>
      <c r="D60" s="8">
        <v>80000</v>
      </c>
      <c r="E60" s="8">
        <v>100000</v>
      </c>
      <c r="F60" s="8">
        <v>120000</v>
      </c>
    </row>
    <row r="61" spans="1:8" x14ac:dyDescent="0.3">
      <c r="A61" s="5" t="s">
        <v>60</v>
      </c>
    </row>
    <row r="62" spans="1:8" x14ac:dyDescent="0.3">
      <c r="A62" s="7" t="s">
        <v>61</v>
      </c>
      <c r="B62" s="8">
        <v>0</v>
      </c>
      <c r="C62" s="8">
        <v>400000</v>
      </c>
      <c r="D62" s="8">
        <v>1200000</v>
      </c>
      <c r="E62" s="8">
        <v>2400000</v>
      </c>
      <c r="F62" s="8">
        <v>3600000</v>
      </c>
    </row>
    <row r="63" spans="1:8" x14ac:dyDescent="0.3">
      <c r="A63" s="7" t="s">
        <v>62</v>
      </c>
      <c r="B63" s="8">
        <v>0</v>
      </c>
      <c r="C63" s="8">
        <v>56400</v>
      </c>
      <c r="D63" s="8">
        <v>169200</v>
      </c>
      <c r="E63" s="8">
        <v>338400</v>
      </c>
      <c r="F63" s="8">
        <v>507600</v>
      </c>
      <c r="H63" s="19"/>
    </row>
    <row r="64" spans="1:8" x14ac:dyDescent="0.3">
      <c r="A64" s="12" t="s">
        <v>63</v>
      </c>
      <c r="B64" s="13">
        <f>SUM(B30:B63)</f>
        <v>908000</v>
      </c>
      <c r="C64" s="13">
        <f>SUM(C30:C63)</f>
        <v>1946400</v>
      </c>
      <c r="D64" s="13">
        <f>SUM(D30:D63)</f>
        <v>3698200</v>
      </c>
      <c r="E64" s="13">
        <f>SUM(E30:E63)</f>
        <v>5862400</v>
      </c>
      <c r="F64" s="13">
        <f>SUM(F30:F63)</f>
        <v>8026600</v>
      </c>
    </row>
    <row r="66" spans="1:12" ht="15.6" x14ac:dyDescent="0.3">
      <c r="A66" s="14" t="s">
        <v>64</v>
      </c>
      <c r="B66" s="15">
        <f>B27+B64</f>
        <v>1225400</v>
      </c>
      <c r="C66" s="15">
        <f>C27+C64</f>
        <v>1946400</v>
      </c>
      <c r="D66" s="15">
        <f>D27+D64</f>
        <v>3698200</v>
      </c>
      <c r="E66" s="15">
        <f>E27+E64</f>
        <v>5862400</v>
      </c>
      <c r="F66" s="15">
        <f>F27+F64</f>
        <v>8026600</v>
      </c>
    </row>
    <row r="67" spans="1:12" x14ac:dyDescent="0.3">
      <c r="A67" s="16" t="s">
        <v>65</v>
      </c>
      <c r="B67" s="17">
        <f>B66</f>
        <v>1225400</v>
      </c>
      <c r="C67" s="17">
        <f>B67+C66</f>
        <v>3171800</v>
      </c>
      <c r="D67" s="17">
        <f>C67+D66</f>
        <v>6870000</v>
      </c>
      <c r="E67" s="17">
        <f>D67+E66</f>
        <v>12732400</v>
      </c>
      <c r="F67" s="17">
        <f>E67+F66</f>
        <v>20759000</v>
      </c>
      <c r="L67" t="s">
        <v>80</v>
      </c>
    </row>
    <row r="70" spans="1:12" x14ac:dyDescent="0.3">
      <c r="A70" s="5" t="s">
        <v>66</v>
      </c>
    </row>
    <row r="71" spans="1:12" x14ac:dyDescent="0.3">
      <c r="A71" s="7" t="s">
        <v>79</v>
      </c>
    </row>
    <row r="72" spans="1:12" x14ac:dyDescent="0.3">
      <c r="A72" s="7" t="s">
        <v>67</v>
      </c>
    </row>
    <row r="73" spans="1:12" x14ac:dyDescent="0.3">
      <c r="A73" s="7" t="s">
        <v>68</v>
      </c>
    </row>
    <row r="74" spans="1:12" x14ac:dyDescent="0.3">
      <c r="A74" s="7" t="s">
        <v>69</v>
      </c>
    </row>
    <row r="75" spans="1:12" x14ac:dyDescent="0.3">
      <c r="A75" s="7"/>
    </row>
    <row r="76" spans="1:12" x14ac:dyDescent="0.3">
      <c r="A76" s="7" t="s">
        <v>70</v>
      </c>
    </row>
    <row r="77" spans="1:12" x14ac:dyDescent="0.3">
      <c r="A77" s="7" t="s">
        <v>71</v>
      </c>
    </row>
    <row r="78" spans="1:12" x14ac:dyDescent="0.3">
      <c r="A78" s="7" t="s">
        <v>72</v>
      </c>
    </row>
    <row r="79" spans="1:12" x14ac:dyDescent="0.3">
      <c r="A79" s="7"/>
    </row>
    <row r="80" spans="1:12" x14ac:dyDescent="0.3">
      <c r="A80" s="7"/>
    </row>
    <row r="81" spans="1:1" x14ac:dyDescent="0.3">
      <c r="A81" s="7" t="s">
        <v>73</v>
      </c>
    </row>
    <row r="82" spans="1:1" x14ac:dyDescent="0.3">
      <c r="A82" s="7" t="s">
        <v>74</v>
      </c>
    </row>
    <row r="83" spans="1:1" x14ac:dyDescent="0.3">
      <c r="A83" s="7" t="s">
        <v>75</v>
      </c>
    </row>
  </sheetData>
  <mergeCells count="1"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Kostanalyse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 even sponland</cp:lastModifiedBy>
  <dcterms:created xsi:type="dcterms:W3CDTF">2026-01-23T10:49:01Z</dcterms:created>
  <dcterms:modified xsi:type="dcterms:W3CDTF">2026-02-06T07:26:45Z</dcterms:modified>
</cp:coreProperties>
</file>